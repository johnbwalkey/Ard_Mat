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esktop\"/>
    </mc:Choice>
  </mc:AlternateContent>
  <xr:revisionPtr revIDLastSave="0" documentId="13_ncr:1_{6E4014F6-C525-41EB-AFD1-F24BC7BE62C4}" xr6:coauthVersionLast="47" xr6:coauthVersionMax="47" xr10:uidLastSave="{00000000-0000-0000-0000-000000000000}"/>
  <bookViews>
    <workbookView xWindow="5820" yWindow="1575" windowWidth="21480" windowHeight="125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6" i="1"/>
  <c r="M28" i="1"/>
  <c r="M29" i="1"/>
  <c r="M21" i="1"/>
  <c r="D17" i="1"/>
  <c r="D18" i="1"/>
  <c r="D19" i="1"/>
  <c r="D20" i="1"/>
  <c r="D21" i="1"/>
  <c r="D22" i="1"/>
  <c r="D23" i="1"/>
  <c r="D24" i="1"/>
  <c r="D25" i="1"/>
  <c r="D26" i="1"/>
  <c r="D27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L29" i="1"/>
  <c r="L11" i="1"/>
  <c r="M11" i="1" s="1"/>
  <c r="D12" i="1"/>
  <c r="D13" i="1"/>
  <c r="D14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</calcChain>
</file>

<file path=xl/sharedStrings.xml><?xml version="1.0" encoding="utf-8"?>
<sst xmlns="http://schemas.openxmlformats.org/spreadsheetml/2006/main" count="98" uniqueCount="26">
  <si>
    <t>Experiment 3 - Subject # 7</t>
  </si>
  <si>
    <t>Date 10/12/23</t>
  </si>
  <si>
    <t>Number of trials: 20</t>
  </si>
  <si>
    <t>Total Trial Time 1162.3665</t>
  </si>
  <si>
    <t xml:space="preserve">  Event time codes: 5/6 - 7/8 is start/end</t>
  </si>
  <si>
    <t xml:space="preserve">  Start time 10 sec blinking LED = 10 (end Blink = 15)</t>
  </si>
  <si>
    <t xml:space="preserve">  Time of poke (IF poked) in A = 20</t>
  </si>
  <si>
    <t xml:space="preserve">  Time out (no poke) in box A = 30</t>
  </si>
  <si>
    <t>Computer time start: 12-Oct-2023 11:39:45</t>
  </si>
  <si>
    <t>Time:</t>
  </si>
  <si>
    <t>Date:</t>
  </si>
  <si>
    <t>12/10/2023</t>
  </si>
  <si>
    <t>Poked</t>
  </si>
  <si>
    <t>Data Logger Simple test</t>
  </si>
  <si>
    <t>Actual Poke</t>
  </si>
  <si>
    <t>just do 5</t>
  </si>
  <si>
    <t>Actual Real Time</t>
  </si>
  <si>
    <t xml:space="preserve">  comp start + code time</t>
  </si>
  <si>
    <t>1. convert to time format</t>
  </si>
  <si>
    <t>2. convert start time to time format</t>
  </si>
  <si>
    <t>3. custom time format</t>
  </si>
  <si>
    <t>mm:ss</t>
  </si>
  <si>
    <t>4. To convert time to seconds, multiply the time time by 86400</t>
  </si>
  <si>
    <t>5. format the sec column to number format</t>
  </si>
  <si>
    <t>T Sec</t>
  </si>
  <si>
    <t>manual pokes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</si>
</sst>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4D515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45" fontId="2" fillId="0" borderId="0" xfId="0" applyNumberFormat="1" applyFont="1"/>
    <xf numFmtId="45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topLeftCell="A7" workbookViewId="0">
      <selection activeCell="M12" sqref="M12"/>
    </sheetView>
  </sheetViews>
  <sheetFormatPr defaultRowHeight="15" x14ac:dyDescent="0.25"/>
  <cols>
    <col min="1" max="1" width="46.5703125" style="1" bestFit="1" customWidth="1"/>
    <col min="2" max="2" width="9.140625" style="6"/>
    <col min="4" max="4" width="11.42578125" style="1" bestFit="1" customWidth="1"/>
    <col min="5" max="5" width="10.5703125" style="1" bestFit="1" customWidth="1"/>
    <col min="6" max="6" width="6" bestFit="1" customWidth="1"/>
    <col min="7" max="7" width="11.5703125" bestFit="1" customWidth="1"/>
    <col min="8" max="8" width="5.7109375" bestFit="1" customWidth="1"/>
    <col min="9" max="9" width="10.7109375" bestFit="1" customWidth="1"/>
    <col min="10" max="10" width="6.5703125" bestFit="1" customWidth="1"/>
    <col min="11" max="11" width="11.5703125" bestFit="1" customWidth="1"/>
    <col min="12" max="12" width="22.28515625" bestFit="1" customWidth="1"/>
    <col min="13" max="13" width="9.140625" style="1"/>
  </cols>
  <sheetData>
    <row r="1" spans="1:13" x14ac:dyDescent="0.25">
      <c r="A1" s="1" t="s">
        <v>0</v>
      </c>
    </row>
    <row r="2" spans="1:13" x14ac:dyDescent="0.25">
      <c r="A2" s="1" t="s">
        <v>1</v>
      </c>
      <c r="G2" t="s">
        <v>18</v>
      </c>
    </row>
    <row r="3" spans="1:13" x14ac:dyDescent="0.25">
      <c r="A3" s="2" t="s">
        <v>2</v>
      </c>
      <c r="G3" t="s">
        <v>19</v>
      </c>
      <c r="K3" s="3">
        <v>0.48593749999999997</v>
      </c>
    </row>
    <row r="4" spans="1:13" x14ac:dyDescent="0.25">
      <c r="A4" s="1" t="s">
        <v>3</v>
      </c>
      <c r="G4" t="s">
        <v>20</v>
      </c>
      <c r="J4" t="s">
        <v>21</v>
      </c>
      <c r="K4" s="5">
        <v>0.48593749999999997</v>
      </c>
    </row>
    <row r="5" spans="1:13" x14ac:dyDescent="0.25">
      <c r="A5" s="1" t="s">
        <v>4</v>
      </c>
      <c r="G5" t="s">
        <v>22</v>
      </c>
    </row>
    <row r="6" spans="1:13" x14ac:dyDescent="0.25">
      <c r="A6" s="1" t="s">
        <v>5</v>
      </c>
      <c r="G6" t="s">
        <v>23</v>
      </c>
    </row>
    <row r="7" spans="1:13" x14ac:dyDescent="0.25">
      <c r="A7" s="1" t="s">
        <v>6</v>
      </c>
    </row>
    <row r="8" spans="1:13" x14ac:dyDescent="0.25">
      <c r="A8" s="1" t="s">
        <v>7</v>
      </c>
    </row>
    <row r="9" spans="1:13" x14ac:dyDescent="0.25">
      <c r="A9" s="2" t="s">
        <v>8</v>
      </c>
      <c r="D9" s="2" t="s">
        <v>14</v>
      </c>
      <c r="F9" s="7" t="s">
        <v>13</v>
      </c>
      <c r="G9" s="7"/>
      <c r="H9" s="7"/>
      <c r="I9" s="7"/>
      <c r="J9" s="7"/>
      <c r="L9" t="s">
        <v>16</v>
      </c>
      <c r="M9" s="1" t="s">
        <v>24</v>
      </c>
    </row>
    <row r="10" spans="1:13" x14ac:dyDescent="0.25">
      <c r="D10" s="1" t="s">
        <v>15</v>
      </c>
      <c r="L10" t="s">
        <v>17</v>
      </c>
    </row>
    <row r="11" spans="1:13" ht="15.75" x14ac:dyDescent="0.25">
      <c r="A11" s="1">
        <v>3.6000000000000001E-5</v>
      </c>
      <c r="B11" s="6">
        <v>5</v>
      </c>
      <c r="D11" s="1" t="s">
        <v>25</v>
      </c>
      <c r="F11" t="s">
        <v>9</v>
      </c>
      <c r="G11" s="3">
        <v>0.48622685185185183</v>
      </c>
      <c r="H11" t="s">
        <v>10</v>
      </c>
      <c r="I11" t="s">
        <v>11</v>
      </c>
      <c r="J11" t="s">
        <v>12</v>
      </c>
      <c r="L11" s="4">
        <f>G11-$K$3</f>
        <v>2.8935185185186008E-4</v>
      </c>
      <c r="M11" s="1">
        <f>L11*86400</f>
        <v>25.000000000000711</v>
      </c>
    </row>
    <row r="12" spans="1:13" ht="15.75" x14ac:dyDescent="0.25">
      <c r="A12" s="1">
        <v>1.2439999999999999E-4</v>
      </c>
      <c r="B12" s="6">
        <v>6</v>
      </c>
      <c r="D12" s="1" t="str">
        <f t="shared" ref="D12:D74" si="0">IF(B12=20,A12,"")</f>
        <v/>
      </c>
      <c r="F12" t="s">
        <v>9</v>
      </c>
      <c r="G12" s="3">
        <v>0.48690972222222223</v>
      </c>
      <c r="H12" t="s">
        <v>10</v>
      </c>
      <c r="I12" t="s">
        <v>11</v>
      </c>
      <c r="J12" t="s">
        <v>12</v>
      </c>
      <c r="L12" s="4">
        <f t="shared" ref="L12:L29" si="1">G12-$K$3</f>
        <v>9.7222222222226318E-4</v>
      </c>
      <c r="M12" s="1">
        <f t="shared" ref="M12:M29" si="2">L12*86400</f>
        <v>84.000000000003539</v>
      </c>
    </row>
    <row r="13" spans="1:13" ht="15.75" x14ac:dyDescent="0.25">
      <c r="A13" s="1">
        <v>46.918363100000001</v>
      </c>
      <c r="B13" s="6">
        <v>10</v>
      </c>
      <c r="D13" s="1" t="str">
        <f t="shared" si="0"/>
        <v/>
      </c>
      <c r="F13" t="s">
        <v>9</v>
      </c>
      <c r="G13" s="3">
        <v>0.48707175925925927</v>
      </c>
      <c r="H13" t="s">
        <v>10</v>
      </c>
      <c r="I13" t="s">
        <v>11</v>
      </c>
      <c r="J13" t="s">
        <v>12</v>
      </c>
      <c r="L13" s="4">
        <f t="shared" si="1"/>
        <v>1.134259259259307E-3</v>
      </c>
      <c r="M13" s="1">
        <f t="shared" si="2"/>
        <v>98.000000000004121</v>
      </c>
    </row>
    <row r="14" spans="1:13" ht="15.75" x14ac:dyDescent="0.25">
      <c r="A14" s="1">
        <v>57.602647900000001</v>
      </c>
      <c r="B14" s="6">
        <v>15</v>
      </c>
      <c r="D14" s="1" t="str">
        <f t="shared" si="0"/>
        <v/>
      </c>
      <c r="F14" t="s">
        <v>9</v>
      </c>
      <c r="G14" s="3">
        <v>0.48710648148148145</v>
      </c>
      <c r="H14" t="s">
        <v>10</v>
      </c>
      <c r="I14" t="s">
        <v>11</v>
      </c>
      <c r="J14" t="s">
        <v>12</v>
      </c>
      <c r="L14" s="4">
        <f t="shared" si="1"/>
        <v>1.1689814814814792E-3</v>
      </c>
      <c r="M14" s="1">
        <f t="shared" si="2"/>
        <v>100.9999999999998</v>
      </c>
    </row>
    <row r="15" spans="1:13" ht="15.75" x14ac:dyDescent="0.25">
      <c r="A15" s="1">
        <v>58.453822000000002</v>
      </c>
      <c r="B15" s="6">
        <v>20</v>
      </c>
      <c r="D15" s="1">
        <f>IF(B15=20,A15,"")</f>
        <v>58.453822000000002</v>
      </c>
      <c r="F15" t="s">
        <v>9</v>
      </c>
      <c r="G15" s="3">
        <v>0.48721064814814818</v>
      </c>
      <c r="H15" t="s">
        <v>10</v>
      </c>
      <c r="I15" t="s">
        <v>11</v>
      </c>
      <c r="J15" t="s">
        <v>12</v>
      </c>
      <c r="L15" s="4">
        <f t="shared" si="1"/>
        <v>1.2731481481482176E-3</v>
      </c>
      <c r="M15" s="1">
        <f t="shared" si="2"/>
        <v>110.000000000006</v>
      </c>
    </row>
    <row r="16" spans="1:13" ht="15.75" x14ac:dyDescent="0.25">
      <c r="A16" s="1">
        <v>90.605518599999996</v>
      </c>
      <c r="B16" s="6">
        <v>10</v>
      </c>
      <c r="D16" s="1" t="str">
        <f>IF(B16=20,A16,"")</f>
        <v/>
      </c>
      <c r="F16" t="s">
        <v>9</v>
      </c>
      <c r="G16" s="3">
        <v>0.48788194444444444</v>
      </c>
      <c r="H16" t="s">
        <v>10</v>
      </c>
      <c r="I16" t="s">
        <v>11</v>
      </c>
      <c r="J16" t="s">
        <v>12</v>
      </c>
      <c r="L16" s="4">
        <f t="shared" si="1"/>
        <v>1.9444444444444708E-3</v>
      </c>
      <c r="M16" s="1">
        <f t="shared" si="2"/>
        <v>168.00000000000227</v>
      </c>
    </row>
    <row r="17" spans="1:13" ht="15.75" x14ac:dyDescent="0.25">
      <c r="A17" s="1">
        <v>101.2970332</v>
      </c>
      <c r="B17" s="6">
        <v>15</v>
      </c>
      <c r="D17" s="1" t="str">
        <f t="shared" si="0"/>
        <v/>
      </c>
      <c r="F17" t="s">
        <v>9</v>
      </c>
      <c r="G17" s="3">
        <v>0.48802083333333335</v>
      </c>
      <c r="H17" t="s">
        <v>10</v>
      </c>
      <c r="I17" t="s">
        <v>11</v>
      </c>
      <c r="J17" t="s">
        <v>12</v>
      </c>
      <c r="L17" s="4">
        <f t="shared" si="1"/>
        <v>2.0833333333333814E-3</v>
      </c>
      <c r="M17" s="1">
        <f t="shared" si="2"/>
        <v>180.00000000000415</v>
      </c>
    </row>
    <row r="18" spans="1:13" ht="15.75" x14ac:dyDescent="0.25">
      <c r="A18" s="1">
        <v>102.2013266</v>
      </c>
      <c r="B18" s="6">
        <v>20</v>
      </c>
      <c r="D18" s="1">
        <f t="shared" si="0"/>
        <v>102.2013266</v>
      </c>
      <c r="F18" t="s">
        <v>9</v>
      </c>
      <c r="G18" s="3">
        <v>0.48825231481481479</v>
      </c>
      <c r="H18" t="s">
        <v>10</v>
      </c>
      <c r="I18" t="s">
        <v>11</v>
      </c>
      <c r="J18" t="s">
        <v>12</v>
      </c>
      <c r="L18" s="4">
        <f t="shared" si="1"/>
        <v>2.3148148148148251E-3</v>
      </c>
      <c r="M18" s="1">
        <f t="shared" si="2"/>
        <v>200.00000000000088</v>
      </c>
    </row>
    <row r="19" spans="1:13" ht="15.75" x14ac:dyDescent="0.25">
      <c r="A19" s="1">
        <v>143.3549242</v>
      </c>
      <c r="B19" s="6">
        <v>10</v>
      </c>
      <c r="D19" s="1" t="str">
        <f t="shared" si="0"/>
        <v/>
      </c>
      <c r="F19" t="s">
        <v>9</v>
      </c>
      <c r="G19" s="3">
        <v>0.48834490740740738</v>
      </c>
      <c r="H19" t="s">
        <v>10</v>
      </c>
      <c r="I19" t="s">
        <v>11</v>
      </c>
      <c r="J19" t="s">
        <v>12</v>
      </c>
      <c r="L19" s="4">
        <f t="shared" si="1"/>
        <v>2.4074074074074137E-3</v>
      </c>
      <c r="M19" s="1">
        <f t="shared" si="2"/>
        <v>208.00000000000054</v>
      </c>
    </row>
    <row r="20" spans="1:13" ht="15.75" x14ac:dyDescent="0.25">
      <c r="A20" s="1">
        <v>154.0758951</v>
      </c>
      <c r="B20" s="6">
        <v>15</v>
      </c>
      <c r="D20" s="1" t="str">
        <f t="shared" si="0"/>
        <v/>
      </c>
      <c r="F20" t="s">
        <v>9</v>
      </c>
      <c r="G20" s="3">
        <v>0.48841435185185184</v>
      </c>
      <c r="H20" t="s">
        <v>10</v>
      </c>
      <c r="I20" t="s">
        <v>11</v>
      </c>
      <c r="J20" t="s">
        <v>12</v>
      </c>
      <c r="L20" s="4">
        <f t="shared" si="1"/>
        <v>2.476851851851869E-3</v>
      </c>
      <c r="M20" s="1">
        <f t="shared" si="2"/>
        <v>214.00000000000148</v>
      </c>
    </row>
    <row r="21" spans="1:13" ht="15.75" x14ac:dyDescent="0.25">
      <c r="A21" s="1">
        <v>155.08087750000001</v>
      </c>
      <c r="B21" s="6">
        <v>20</v>
      </c>
      <c r="D21" s="1">
        <f t="shared" si="0"/>
        <v>155.08087750000001</v>
      </c>
      <c r="F21" t="s">
        <v>9</v>
      </c>
      <c r="G21" s="3">
        <v>0.48903935185185188</v>
      </c>
      <c r="H21" t="s">
        <v>10</v>
      </c>
      <c r="I21" t="s">
        <v>11</v>
      </c>
      <c r="J21" t="s">
        <v>12</v>
      </c>
      <c r="L21" s="4">
        <f t="shared" si="1"/>
        <v>3.1018518518519111E-3</v>
      </c>
      <c r="M21" s="1">
        <f t="shared" si="2"/>
        <v>268.00000000000512</v>
      </c>
    </row>
    <row r="22" spans="1:13" ht="15.75" x14ac:dyDescent="0.25">
      <c r="A22" s="1">
        <v>188.24401320000001</v>
      </c>
      <c r="B22" s="6">
        <v>10</v>
      </c>
      <c r="D22" s="1" t="str">
        <f t="shared" si="0"/>
        <v/>
      </c>
      <c r="F22" t="s">
        <v>9</v>
      </c>
      <c r="G22" s="3">
        <v>0.4890856481481482</v>
      </c>
      <c r="H22" t="s">
        <v>10</v>
      </c>
      <c r="I22" t="s">
        <v>11</v>
      </c>
      <c r="J22" t="s">
        <v>12</v>
      </c>
      <c r="L22" s="4">
        <f t="shared" si="1"/>
        <v>3.1481481481482332E-3</v>
      </c>
      <c r="M22" s="1">
        <f>L22*86400</f>
        <v>272.00000000000733</v>
      </c>
    </row>
    <row r="23" spans="1:13" ht="15.75" x14ac:dyDescent="0.25">
      <c r="A23" s="1">
        <v>198.95614660000001</v>
      </c>
      <c r="B23" s="6">
        <v>15</v>
      </c>
      <c r="D23" s="1" t="str">
        <f t="shared" si="0"/>
        <v/>
      </c>
      <c r="F23" t="s">
        <v>9</v>
      </c>
      <c r="G23" s="3">
        <v>0.48916666666666669</v>
      </c>
      <c r="H23" t="s">
        <v>10</v>
      </c>
      <c r="I23" t="s">
        <v>11</v>
      </c>
      <c r="J23" t="s">
        <v>12</v>
      </c>
      <c r="L23" s="4">
        <f t="shared" si="1"/>
        <v>3.2291666666667274E-3</v>
      </c>
      <c r="M23" s="1">
        <f t="shared" si="2"/>
        <v>279.00000000000523</v>
      </c>
    </row>
    <row r="24" spans="1:13" ht="15.75" x14ac:dyDescent="0.25">
      <c r="A24" s="1">
        <v>199.7352947</v>
      </c>
      <c r="B24" s="6">
        <v>20</v>
      </c>
      <c r="D24" s="1">
        <f t="shared" si="0"/>
        <v>199.7352947</v>
      </c>
      <c r="F24" t="s">
        <v>9</v>
      </c>
      <c r="G24" s="3">
        <v>0.48957175925925928</v>
      </c>
      <c r="H24" t="s">
        <v>10</v>
      </c>
      <c r="I24" t="s">
        <v>11</v>
      </c>
      <c r="J24" t="s">
        <v>12</v>
      </c>
      <c r="L24" s="4">
        <f t="shared" si="1"/>
        <v>3.6342592592593093E-3</v>
      </c>
      <c r="M24" s="1">
        <f t="shared" si="2"/>
        <v>314.00000000000432</v>
      </c>
    </row>
    <row r="25" spans="1:13" ht="15.75" x14ac:dyDescent="0.25">
      <c r="A25" s="1">
        <v>248.89356889999999</v>
      </c>
      <c r="B25" s="6">
        <v>10</v>
      </c>
      <c r="D25" s="1" t="str">
        <f t="shared" si="0"/>
        <v/>
      </c>
      <c r="F25" t="s">
        <v>9</v>
      </c>
      <c r="G25" s="3">
        <v>0.4899189814814815</v>
      </c>
      <c r="H25" t="s">
        <v>10</v>
      </c>
      <c r="I25" t="s">
        <v>11</v>
      </c>
      <c r="J25" t="s">
        <v>12</v>
      </c>
      <c r="L25" s="4">
        <f t="shared" si="1"/>
        <v>3.9814814814815302E-3</v>
      </c>
      <c r="M25" s="1">
        <f t="shared" si="2"/>
        <v>344.00000000000421</v>
      </c>
    </row>
    <row r="26" spans="1:13" ht="15.75" x14ac:dyDescent="0.25">
      <c r="A26" s="1">
        <v>259.58003230000003</v>
      </c>
      <c r="B26" s="6">
        <v>15</v>
      </c>
      <c r="D26" s="1" t="str">
        <f t="shared" si="0"/>
        <v/>
      </c>
      <c r="F26" t="s">
        <v>9</v>
      </c>
      <c r="G26" s="3">
        <v>0.49</v>
      </c>
      <c r="H26" t="s">
        <v>10</v>
      </c>
      <c r="I26" t="s">
        <v>11</v>
      </c>
      <c r="J26" t="s">
        <v>12</v>
      </c>
      <c r="L26" s="4">
        <f t="shared" si="1"/>
        <v>4.0625000000000244E-3</v>
      </c>
      <c r="M26" s="1">
        <f t="shared" si="2"/>
        <v>351.0000000000021</v>
      </c>
    </row>
    <row r="27" spans="1:13" ht="15.75" x14ac:dyDescent="0.25">
      <c r="A27" s="1">
        <v>260.35652069999998</v>
      </c>
      <c r="B27" s="6">
        <v>20</v>
      </c>
      <c r="D27" s="1">
        <f t="shared" si="0"/>
        <v>260.35652069999998</v>
      </c>
      <c r="F27" t="s">
        <v>9</v>
      </c>
      <c r="G27" s="3">
        <v>0.49017361111111107</v>
      </c>
      <c r="H27" t="s">
        <v>10</v>
      </c>
      <c r="I27" t="s">
        <v>11</v>
      </c>
      <c r="J27" t="s">
        <v>12</v>
      </c>
      <c r="L27" s="4">
        <f t="shared" si="1"/>
        <v>4.2361111111111072E-3</v>
      </c>
      <c r="M27" s="1">
        <f t="shared" si="2"/>
        <v>365.99999999999966</v>
      </c>
    </row>
    <row r="28" spans="1:13" ht="15.75" x14ac:dyDescent="0.25">
      <c r="A28" s="1">
        <v>304.49559859999999</v>
      </c>
      <c r="B28" s="6">
        <v>10</v>
      </c>
      <c r="D28" s="1" t="str">
        <f t="shared" si="0"/>
        <v/>
      </c>
      <c r="F28" t="s">
        <v>9</v>
      </c>
      <c r="G28" s="3">
        <v>0.49028935185185185</v>
      </c>
      <c r="H28" t="s">
        <v>10</v>
      </c>
      <c r="I28" t="s">
        <v>11</v>
      </c>
      <c r="J28" t="s">
        <v>12</v>
      </c>
      <c r="L28" s="4">
        <f t="shared" si="1"/>
        <v>4.3518518518518845E-3</v>
      </c>
      <c r="M28" s="1">
        <f t="shared" si="2"/>
        <v>376.00000000000284</v>
      </c>
    </row>
    <row r="29" spans="1:13" ht="15.75" x14ac:dyDescent="0.25">
      <c r="A29" s="1">
        <v>315.14989859999997</v>
      </c>
      <c r="B29" s="6">
        <v>15</v>
      </c>
      <c r="D29" s="1" t="str">
        <f t="shared" si="0"/>
        <v/>
      </c>
      <c r="F29" t="s">
        <v>9</v>
      </c>
      <c r="G29" s="3">
        <v>0.50434027777777779</v>
      </c>
      <c r="H29" t="s">
        <v>10</v>
      </c>
      <c r="I29" t="s">
        <v>11</v>
      </c>
      <c r="J29" t="s">
        <v>12</v>
      </c>
      <c r="L29" s="4">
        <f t="shared" si="1"/>
        <v>1.8402777777777823E-2</v>
      </c>
      <c r="M29" s="1">
        <f t="shared" si="2"/>
        <v>1590.0000000000039</v>
      </c>
    </row>
    <row r="30" spans="1:13" x14ac:dyDescent="0.25">
      <c r="A30" s="1">
        <v>325.19105200000001</v>
      </c>
      <c r="B30" s="6">
        <v>30</v>
      </c>
      <c r="D30" s="1" t="str">
        <f t="shared" si="0"/>
        <v/>
      </c>
    </row>
    <row r="31" spans="1:13" x14ac:dyDescent="0.25">
      <c r="A31" s="1">
        <v>356.30153380000002</v>
      </c>
      <c r="B31" s="6">
        <v>10</v>
      </c>
      <c r="D31" s="1" t="str">
        <f t="shared" si="0"/>
        <v/>
      </c>
    </row>
    <row r="32" spans="1:13" x14ac:dyDescent="0.25">
      <c r="A32" s="1">
        <v>366.91478790000002</v>
      </c>
      <c r="B32" s="6">
        <v>15</v>
      </c>
      <c r="D32" s="1" t="str">
        <f t="shared" si="0"/>
        <v/>
      </c>
    </row>
    <row r="33" spans="1:4" x14ac:dyDescent="0.25">
      <c r="A33" s="1">
        <v>368.3654674</v>
      </c>
      <c r="B33" s="6">
        <v>20</v>
      </c>
      <c r="D33" s="1">
        <f t="shared" si="0"/>
        <v>368.3654674</v>
      </c>
    </row>
    <row r="34" spans="1:4" x14ac:dyDescent="0.25">
      <c r="A34" s="1">
        <v>403.52214850000001</v>
      </c>
      <c r="B34" s="6">
        <v>10</v>
      </c>
      <c r="D34" s="1" t="str">
        <f t="shared" si="0"/>
        <v/>
      </c>
    </row>
    <row r="35" spans="1:4" x14ac:dyDescent="0.25">
      <c r="A35" s="1">
        <v>414.09499890000001</v>
      </c>
      <c r="B35" s="6">
        <v>15</v>
      </c>
      <c r="D35" s="1" t="str">
        <f t="shared" si="0"/>
        <v/>
      </c>
    </row>
    <row r="36" spans="1:4" x14ac:dyDescent="0.25">
      <c r="A36" s="1">
        <v>424.1646523</v>
      </c>
      <c r="B36" s="6">
        <v>30</v>
      </c>
      <c r="D36" s="1" t="str">
        <f t="shared" si="0"/>
        <v/>
      </c>
    </row>
    <row r="37" spans="1:4" x14ac:dyDescent="0.25">
      <c r="A37" s="1">
        <v>454.27549909999999</v>
      </c>
      <c r="B37" s="6">
        <v>10</v>
      </c>
      <c r="D37" s="1" t="str">
        <f t="shared" si="0"/>
        <v/>
      </c>
    </row>
    <row r="38" spans="1:4" x14ac:dyDescent="0.25">
      <c r="A38" s="1">
        <v>464.93445480000003</v>
      </c>
      <c r="B38" s="6">
        <v>15</v>
      </c>
      <c r="D38" s="1" t="str">
        <f t="shared" si="0"/>
        <v/>
      </c>
    </row>
    <row r="39" spans="1:4" x14ac:dyDescent="0.25">
      <c r="A39" s="1">
        <v>474.98342780000002</v>
      </c>
      <c r="B39" s="6">
        <v>30</v>
      </c>
      <c r="D39" s="1" t="str">
        <f t="shared" si="0"/>
        <v/>
      </c>
    </row>
    <row r="40" spans="1:4" x14ac:dyDescent="0.25">
      <c r="A40" s="1">
        <v>517.09318020000001</v>
      </c>
      <c r="B40" s="6">
        <v>10</v>
      </c>
      <c r="D40" s="1" t="str">
        <f t="shared" si="0"/>
        <v/>
      </c>
    </row>
    <row r="41" spans="1:4" x14ac:dyDescent="0.25">
      <c r="A41" s="1">
        <v>527.80187509999996</v>
      </c>
      <c r="B41" s="6">
        <v>15</v>
      </c>
      <c r="D41" s="1" t="str">
        <f t="shared" si="0"/>
        <v/>
      </c>
    </row>
    <row r="42" spans="1:4" x14ac:dyDescent="0.25">
      <c r="A42" s="1">
        <v>537.85763169999996</v>
      </c>
      <c r="B42" s="6">
        <v>30</v>
      </c>
      <c r="D42" s="1" t="str">
        <f t="shared" si="0"/>
        <v/>
      </c>
    </row>
    <row r="43" spans="1:4" x14ac:dyDescent="0.25">
      <c r="A43" s="1">
        <v>582.96555709999996</v>
      </c>
      <c r="B43" s="6">
        <v>10</v>
      </c>
      <c r="D43" s="1" t="str">
        <f t="shared" si="0"/>
        <v/>
      </c>
    </row>
    <row r="44" spans="1:4" x14ac:dyDescent="0.25">
      <c r="A44" s="1">
        <v>593.72243990000004</v>
      </c>
      <c r="B44" s="6">
        <v>15</v>
      </c>
      <c r="D44" s="1" t="str">
        <f t="shared" si="0"/>
        <v/>
      </c>
    </row>
    <row r="45" spans="1:4" x14ac:dyDescent="0.25">
      <c r="A45" s="1">
        <v>603.77826070000003</v>
      </c>
      <c r="B45" s="6">
        <v>30</v>
      </c>
      <c r="D45" s="1" t="str">
        <f t="shared" si="0"/>
        <v/>
      </c>
    </row>
    <row r="46" spans="1:4" x14ac:dyDescent="0.25">
      <c r="A46" s="1">
        <v>635.88937209999995</v>
      </c>
      <c r="B46" s="6">
        <v>10</v>
      </c>
      <c r="D46" s="1" t="str">
        <f t="shared" si="0"/>
        <v/>
      </c>
    </row>
    <row r="47" spans="1:4" x14ac:dyDescent="0.25">
      <c r="A47" s="1">
        <v>646.57716889999995</v>
      </c>
      <c r="B47" s="6">
        <v>15</v>
      </c>
      <c r="D47" s="1" t="str">
        <f t="shared" si="0"/>
        <v/>
      </c>
    </row>
    <row r="48" spans="1:4" x14ac:dyDescent="0.25">
      <c r="A48" s="1">
        <v>656.64660939999999</v>
      </c>
      <c r="B48" s="6">
        <v>30</v>
      </c>
      <c r="D48" s="1" t="str">
        <f t="shared" si="0"/>
        <v/>
      </c>
    </row>
    <row r="49" spans="1:4" x14ac:dyDescent="0.25">
      <c r="A49" s="1">
        <v>694.73266960000001</v>
      </c>
      <c r="B49" s="6">
        <v>10</v>
      </c>
      <c r="D49" s="1" t="str">
        <f t="shared" si="0"/>
        <v/>
      </c>
    </row>
    <row r="50" spans="1:4" x14ac:dyDescent="0.25">
      <c r="A50" s="1">
        <v>705.46579399999996</v>
      </c>
      <c r="B50" s="6">
        <v>15</v>
      </c>
      <c r="D50" s="1" t="str">
        <f t="shared" si="0"/>
        <v/>
      </c>
    </row>
    <row r="51" spans="1:4" x14ac:dyDescent="0.25">
      <c r="A51" s="1">
        <v>715.53737939999996</v>
      </c>
      <c r="B51" s="6">
        <v>30</v>
      </c>
      <c r="D51" s="1" t="str">
        <f t="shared" si="0"/>
        <v/>
      </c>
    </row>
    <row r="52" spans="1:4" x14ac:dyDescent="0.25">
      <c r="A52" s="1">
        <v>755.63694399999997</v>
      </c>
      <c r="B52" s="6">
        <v>10</v>
      </c>
      <c r="D52" s="1" t="str">
        <f t="shared" si="0"/>
        <v/>
      </c>
    </row>
    <row r="53" spans="1:4" x14ac:dyDescent="0.25">
      <c r="A53" s="1">
        <v>766.122612</v>
      </c>
      <c r="B53" s="6">
        <v>15</v>
      </c>
      <c r="D53" s="1" t="str">
        <f t="shared" si="0"/>
        <v/>
      </c>
    </row>
    <row r="54" spans="1:4" x14ac:dyDescent="0.25">
      <c r="A54" s="1">
        <v>776.15946650000001</v>
      </c>
      <c r="B54" s="6">
        <v>30</v>
      </c>
      <c r="D54" s="1" t="str">
        <f t="shared" si="0"/>
        <v/>
      </c>
    </row>
    <row r="55" spans="1:4" x14ac:dyDescent="0.25">
      <c r="A55" s="1">
        <v>823.27170520000004</v>
      </c>
      <c r="B55" s="6">
        <v>10</v>
      </c>
      <c r="D55" s="1" t="str">
        <f t="shared" si="0"/>
        <v/>
      </c>
    </row>
    <row r="56" spans="1:4" x14ac:dyDescent="0.25">
      <c r="A56" s="1">
        <v>833.76643779999995</v>
      </c>
      <c r="B56" s="6">
        <v>15</v>
      </c>
      <c r="D56" s="1" t="str">
        <f t="shared" si="0"/>
        <v/>
      </c>
    </row>
    <row r="57" spans="1:4" x14ac:dyDescent="0.25">
      <c r="A57" s="1">
        <v>843.83977600000003</v>
      </c>
      <c r="B57" s="6">
        <v>30</v>
      </c>
      <c r="D57" s="1" t="str">
        <f t="shared" si="0"/>
        <v/>
      </c>
    </row>
    <row r="58" spans="1:4" x14ac:dyDescent="0.25">
      <c r="A58" s="1">
        <v>890.91776470000002</v>
      </c>
      <c r="B58" s="6">
        <v>10</v>
      </c>
      <c r="D58" s="1" t="str">
        <f t="shared" si="0"/>
        <v/>
      </c>
    </row>
    <row r="59" spans="1:4" x14ac:dyDescent="0.25">
      <c r="A59" s="1">
        <v>900.84825569999998</v>
      </c>
      <c r="B59" s="6">
        <v>15</v>
      </c>
      <c r="D59" s="1" t="str">
        <f t="shared" si="0"/>
        <v/>
      </c>
    </row>
    <row r="60" spans="1:4" x14ac:dyDescent="0.25">
      <c r="A60" s="1">
        <v>910.88531809999995</v>
      </c>
      <c r="B60" s="6">
        <v>30</v>
      </c>
      <c r="D60" s="1" t="str">
        <f t="shared" si="0"/>
        <v/>
      </c>
    </row>
    <row r="61" spans="1:4" x14ac:dyDescent="0.25">
      <c r="A61" s="1">
        <v>956.99113069999999</v>
      </c>
      <c r="B61" s="6">
        <v>10</v>
      </c>
      <c r="D61" s="1" t="str">
        <f t="shared" si="0"/>
        <v/>
      </c>
    </row>
    <row r="62" spans="1:4" x14ac:dyDescent="0.25">
      <c r="A62" s="1">
        <v>966.35557470000003</v>
      </c>
      <c r="B62" s="6">
        <v>15</v>
      </c>
      <c r="D62" s="1" t="str">
        <f t="shared" si="0"/>
        <v/>
      </c>
    </row>
    <row r="63" spans="1:4" x14ac:dyDescent="0.25">
      <c r="A63" s="1">
        <v>976.40530560000002</v>
      </c>
      <c r="B63" s="6">
        <v>30</v>
      </c>
      <c r="D63" s="1" t="str">
        <f t="shared" si="0"/>
        <v/>
      </c>
    </row>
    <row r="64" spans="1:4" x14ac:dyDescent="0.25">
      <c r="A64" s="1">
        <v>1014.4740399</v>
      </c>
      <c r="B64" s="6">
        <v>10</v>
      </c>
      <c r="D64" s="1" t="str">
        <f t="shared" si="0"/>
        <v/>
      </c>
    </row>
    <row r="65" spans="1:4" x14ac:dyDescent="0.25">
      <c r="A65" s="1">
        <v>1025.1332844999999</v>
      </c>
      <c r="B65" s="6">
        <v>15</v>
      </c>
      <c r="D65" s="1" t="str">
        <f t="shared" si="0"/>
        <v/>
      </c>
    </row>
    <row r="66" spans="1:4" x14ac:dyDescent="0.25">
      <c r="A66" s="1">
        <v>1035.2016604999999</v>
      </c>
      <c r="B66" s="6">
        <v>30</v>
      </c>
      <c r="D66" s="1" t="str">
        <f t="shared" si="0"/>
        <v/>
      </c>
    </row>
    <row r="67" spans="1:4" x14ac:dyDescent="0.25">
      <c r="A67" s="1">
        <v>1075.3087862</v>
      </c>
      <c r="B67" s="6">
        <v>10</v>
      </c>
      <c r="D67" s="1" t="str">
        <f t="shared" si="0"/>
        <v/>
      </c>
    </row>
    <row r="68" spans="1:4" x14ac:dyDescent="0.25">
      <c r="A68" s="1">
        <v>1085.8669001999999</v>
      </c>
      <c r="B68" s="6">
        <v>15</v>
      </c>
      <c r="D68" s="1" t="str">
        <f t="shared" si="0"/>
        <v/>
      </c>
    </row>
    <row r="69" spans="1:4" x14ac:dyDescent="0.25">
      <c r="A69" s="1">
        <v>1095.9167248000001</v>
      </c>
      <c r="B69" s="6">
        <v>30</v>
      </c>
      <c r="D69" s="1" t="str">
        <f t="shared" si="0"/>
        <v/>
      </c>
    </row>
    <row r="70" spans="1:4" x14ac:dyDescent="0.25">
      <c r="A70" s="1">
        <v>1135.0315757000001</v>
      </c>
      <c r="B70" s="6">
        <v>10</v>
      </c>
      <c r="D70" s="1" t="str">
        <f t="shared" si="0"/>
        <v/>
      </c>
    </row>
    <row r="71" spans="1:4" x14ac:dyDescent="0.25">
      <c r="A71" s="1">
        <v>1144.8817635</v>
      </c>
      <c r="B71" s="6">
        <v>15</v>
      </c>
      <c r="D71" s="1" t="str">
        <f t="shared" si="0"/>
        <v/>
      </c>
    </row>
    <row r="72" spans="1:4" x14ac:dyDescent="0.25">
      <c r="A72" s="1">
        <v>1154.9243672</v>
      </c>
      <c r="B72" s="6">
        <v>30</v>
      </c>
      <c r="D72" s="1" t="str">
        <f t="shared" si="0"/>
        <v/>
      </c>
    </row>
    <row r="73" spans="1:4" x14ac:dyDescent="0.25">
      <c r="A73" s="1">
        <v>1155.1546080000001</v>
      </c>
      <c r="B73" s="6">
        <v>7</v>
      </c>
      <c r="D73" s="1" t="str">
        <f t="shared" si="0"/>
        <v/>
      </c>
    </row>
    <row r="74" spans="1:4" x14ac:dyDescent="0.25">
      <c r="A74" s="1">
        <v>1162.3664819000001</v>
      </c>
      <c r="B74" s="6">
        <v>8</v>
      </c>
      <c r="D74" s="1" t="str">
        <f t="shared" si="0"/>
        <v/>
      </c>
    </row>
  </sheetData>
  <mergeCells count="1">
    <mergeCell ref="F9:J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Walkey</dc:creator>
  <cp:lastModifiedBy>John Walkey</cp:lastModifiedBy>
  <dcterms:created xsi:type="dcterms:W3CDTF">2023-10-12T17:59:04Z</dcterms:created>
  <dcterms:modified xsi:type="dcterms:W3CDTF">2023-10-12T21:52:35Z</dcterms:modified>
</cp:coreProperties>
</file>